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calculators/"/>
    </mc:Choice>
  </mc:AlternateContent>
  <xr:revisionPtr revIDLastSave="29" documentId="11_689244CBDC46394D82564856077490899C4E781F" xr6:coauthVersionLast="47" xr6:coauthVersionMax="47" xr10:uidLastSave="{72983317-A74B-481F-8ED2-4642020B089E}"/>
  <bookViews>
    <workbookView xWindow="45240" yWindow="-1155" windowWidth="32505" windowHeight="15900" activeTab="1" xr2:uid="{00000000-000D-0000-FFFF-FFFF00000000}"/>
  </bookViews>
  <sheets>
    <sheet name="Inputs" sheetId="1" r:id="rId1"/>
    <sheet name="Calculator" sheetId="2" r:id="rId2"/>
    <sheet name="Temp Sweep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1" i="2"/>
  <c r="B26" i="2"/>
  <c r="B25" i="2"/>
  <c r="B24" i="2"/>
  <c r="B23" i="2"/>
  <c r="B22" i="2"/>
  <c r="B18" i="2"/>
  <c r="B19" i="2" s="1"/>
  <c r="B9" i="2"/>
  <c r="B8" i="2"/>
  <c r="B10" i="2" s="1"/>
  <c r="B7" i="2"/>
  <c r="B6" i="2"/>
  <c r="B4" i="2"/>
  <c r="B5" i="2" s="1"/>
  <c r="B11" i="2" l="1"/>
  <c r="B12" i="2" s="1"/>
  <c r="B13" i="2" l="1"/>
  <c r="E22" i="3" s="1"/>
  <c r="C22" i="3"/>
  <c r="C6" i="3"/>
  <c r="B14" i="2"/>
  <c r="B20" i="2" s="1"/>
  <c r="C9" i="3"/>
  <c r="C12" i="3"/>
  <c r="B29" i="2"/>
  <c r="C15" i="3"/>
  <c r="C18" i="3"/>
  <c r="B27" i="2"/>
  <c r="C5" i="3"/>
  <c r="C21" i="3"/>
  <c r="C14" i="3"/>
  <c r="C17" i="3"/>
  <c r="C4" i="3"/>
  <c r="C8" i="3"/>
  <c r="C20" i="3"/>
  <c r="C7" i="3"/>
  <c r="C10" i="3"/>
  <c r="C13" i="3"/>
  <c r="C16" i="3"/>
  <c r="B16" i="2"/>
  <c r="C19" i="3"/>
  <c r="C11" i="3"/>
  <c r="E15" i="3" l="1"/>
  <c r="E14" i="3"/>
  <c r="E10" i="3"/>
  <c r="E4" i="3"/>
  <c r="E6" i="3"/>
  <c r="E11" i="3"/>
  <c r="E13" i="3"/>
  <c r="E18" i="3"/>
  <c r="E20" i="3"/>
  <c r="E16" i="3"/>
  <c r="E8" i="3"/>
  <c r="E7" i="3"/>
  <c r="E21" i="3"/>
  <c r="E5" i="3"/>
  <c r="E17" i="3"/>
  <c r="E9" i="3"/>
  <c r="E12" i="3"/>
  <c r="E19" i="3"/>
  <c r="D22" i="3"/>
  <c r="F22" i="3" s="1"/>
  <c r="D9" i="3"/>
  <c r="D12" i="3"/>
  <c r="B30" i="2"/>
  <c r="D15" i="3"/>
  <c r="D18" i="3"/>
  <c r="B28" i="2"/>
  <c r="D5" i="3"/>
  <c r="D21" i="3"/>
  <c r="D17" i="3"/>
  <c r="D4" i="3"/>
  <c r="D7" i="3"/>
  <c r="B15" i="2"/>
  <c r="D8" i="3"/>
  <c r="D11" i="3"/>
  <c r="D20" i="3"/>
  <c r="D10" i="3"/>
  <c r="D13" i="3"/>
  <c r="D16" i="3"/>
  <c r="B17" i="2"/>
  <c r="D19" i="3"/>
  <c r="D6" i="3"/>
  <c r="D14" i="3"/>
  <c r="F8" i="3" l="1"/>
  <c r="F17" i="3"/>
  <c r="F6" i="3"/>
  <c r="F10" i="3"/>
  <c r="F21" i="3"/>
  <c r="F19" i="3"/>
  <c r="F14" i="3"/>
  <c r="F15" i="3"/>
  <c r="F13" i="3"/>
  <c r="F18" i="3"/>
  <c r="F16" i="3"/>
  <c r="F20" i="3"/>
  <c r="F11" i="3"/>
  <c r="F9" i="3"/>
  <c r="F5" i="3"/>
  <c r="F12" i="3"/>
  <c r="F7" i="3"/>
  <c r="F4" i="3"/>
  <c r="B32" i="2"/>
  <c r="B33" i="2" s="1"/>
  <c r="B35" i="2" s="1"/>
  <c r="B34" i="2" l="1"/>
</calcChain>
</file>

<file path=xl/sharedStrings.xml><?xml version="1.0" encoding="utf-8"?>
<sst xmlns="http://schemas.openxmlformats.org/spreadsheetml/2006/main" count="217" uniqueCount="169">
  <si>
    <t>Ho/Au Source Heat Capacity and Activity Calculator</t>
  </si>
  <si>
    <t>Edit the yellow cells. Defaults: pure Ho, Ho gamma = 10 mJ/mol/K^2 from Beall &amp; Kinkead; Au gamma = 0.729 mJ/mol/K^2.</t>
  </si>
  <si>
    <t>Geometry / composition</t>
  </si>
  <si>
    <t>Length</t>
  </si>
  <si>
    <t>um</t>
  </si>
  <si>
    <t>Source/alloy footprint length</t>
  </si>
  <si>
    <t>Width</t>
  </si>
  <si>
    <t>Source/alloy footprint width</t>
  </si>
  <si>
    <t>Thickness</t>
  </si>
  <si>
    <t>For 50 Bq pure Ho over 200 x 200 um, about 7.5 nm</t>
  </si>
  <si>
    <t>Ho atomic fraction, x_Ho</t>
  </si>
  <si>
    <t>fraction</t>
  </si>
  <si>
    <t>1.0 = no Au dilution; 0.5 = 50% atomic Ho / 50% Au</t>
  </si>
  <si>
    <t>Temperature</t>
  </si>
  <si>
    <t>K</t>
  </si>
  <si>
    <t>Operating temperature</t>
  </si>
  <si>
    <t>Optional two-level Schottky splitting Δ/kB</t>
  </si>
  <si>
    <t>0 disables Schottky term; use only as a crude sensitivity knob</t>
  </si>
  <si>
    <t>Ho material inputs</t>
  </si>
  <si>
    <t>Ho molar mass</t>
  </si>
  <si>
    <t>g/mol</t>
  </si>
  <si>
    <t>Use 163Ho mass scale</t>
  </si>
  <si>
    <t>Ho density</t>
  </si>
  <si>
    <t>g/cm^3</t>
  </si>
  <si>
    <t>Metallic Ho</t>
  </si>
  <si>
    <t>Ho electronic gamma</t>
  </si>
  <si>
    <t>mJ/mol/K^2</t>
  </si>
  <si>
    <t>Empirical fit for Ho metal from Beall &amp; Kinkead (1962): Cp = 2.26 T^3 + 10 T + C_N mJ/mol/K</t>
  </si>
  <si>
    <t>Ho Debye temperature</t>
  </si>
  <si>
    <t>For phonon beta estimate</t>
  </si>
  <si>
    <t>Ho half-life</t>
  </si>
  <si>
    <t>yr</t>
  </si>
  <si>
    <t>163Ho half-life used by HOLMES paper</t>
  </si>
  <si>
    <t>Au material inputs</t>
  </si>
  <si>
    <t>Au molar mass</t>
  </si>
  <si>
    <t>Gold</t>
  </si>
  <si>
    <t>Au density</t>
  </si>
  <si>
    <t>Au electronic gamma</t>
  </si>
  <si>
    <t>Sommerfeld coefficient for Au; updated to match the other Au spreadsheet</t>
  </si>
  <si>
    <t>Au Debye temperature</t>
  </si>
  <si>
    <t>Constants</t>
  </si>
  <si>
    <t>Avogadro constant</t>
  </si>
  <si>
    <t>1/mol</t>
  </si>
  <si>
    <t>Exact SI</t>
  </si>
  <si>
    <t>Boltzmann constant</t>
  </si>
  <si>
    <t>J/K</t>
  </si>
  <si>
    <t>J to eV</t>
  </si>
  <si>
    <t>eV/J</t>
  </si>
  <si>
    <t>CODATA exact via e charge</t>
  </si>
  <si>
    <t>Seconds per year</t>
  </si>
  <si>
    <t>s/yr</t>
  </si>
  <si>
    <t>Julian year</t>
  </si>
  <si>
    <t>Calculated source volume, isotope activity, and heat capacity</t>
  </si>
  <si>
    <t>Quantity</t>
  </si>
  <si>
    <t>Formula / value</t>
  </si>
  <si>
    <t>Units</t>
  </si>
  <si>
    <t>Notes</t>
  </si>
  <si>
    <t>Volume</t>
  </si>
  <si>
    <t>um^3</t>
  </si>
  <si>
    <t>Total Ho/Au source layer volume</t>
  </si>
  <si>
    <t>cm^3</t>
  </si>
  <si>
    <t>1 um^3 = 1E-12 cm^3</t>
  </si>
  <si>
    <t>Ho atomic fraction x</t>
  </si>
  <si>
    <t>Editable on Inputs</t>
  </si>
  <si>
    <t>Au atomic fraction 1-x</t>
  </si>
  <si>
    <t>Computed from Ho atomic fraction</t>
  </si>
  <si>
    <t>Ho molar volume</t>
  </si>
  <si>
    <t>cm^3/mol atoms</t>
  </si>
  <si>
    <t>M/rho</t>
  </si>
  <si>
    <t>Au molar volume</t>
  </si>
  <si>
    <t>Mixture molar volume</t>
  </si>
  <si>
    <t>Ideal atomic-volume mixture estimate</t>
  </si>
  <si>
    <t>Total atom moles in source layer</t>
  </si>
  <si>
    <t>mol atoms</t>
  </si>
  <si>
    <t>Volume / mixture molar volume</t>
  </si>
  <si>
    <t>Ho moles</t>
  </si>
  <si>
    <t>mol</t>
  </si>
  <si>
    <t>Fixed by volume and dilution</t>
  </si>
  <si>
    <t>Au moles</t>
  </si>
  <si>
    <t>Added by dilution</t>
  </si>
  <si>
    <t>Ho atoms</t>
  </si>
  <si>
    <t>atoms</t>
  </si>
  <si>
    <t>Moles times Avogadro</t>
  </si>
  <si>
    <t>Au atoms</t>
  </si>
  <si>
    <t>Ho mass</t>
  </si>
  <si>
    <t>g</t>
  </si>
  <si>
    <t>Au mass</t>
  </si>
  <si>
    <t>Half-life</t>
  </si>
  <si>
    <t>s</t>
  </si>
  <si>
    <t>Ho half-life in seconds</t>
  </si>
  <si>
    <t>Decay constant lambda</t>
  </si>
  <si>
    <t>1/s</t>
  </si>
  <si>
    <t>Activity / count rate</t>
  </si>
  <si>
    <t>Bq = decays/s</t>
  </si>
  <si>
    <t>Assumes one detected count per Ho EC decay</t>
  </si>
  <si>
    <t>Ho gamma</t>
  </si>
  <si>
    <t>J/mol/K^2</t>
  </si>
  <si>
    <t>mJ converted to J</t>
  </si>
  <si>
    <t>Au gamma</t>
  </si>
  <si>
    <t>Ho beta phonon coefficient</t>
  </si>
  <si>
    <t>J/mol/K^4</t>
  </si>
  <si>
    <t>Debye low-T beta</t>
  </si>
  <si>
    <t>Au beta phonon coefficient</t>
  </si>
  <si>
    <t>Ho electronic heat capacity</t>
  </si>
  <si>
    <t>n gamma T</t>
  </si>
  <si>
    <t>Au electronic heat capacity</t>
  </si>
  <si>
    <t>Ho phonon heat capacity</t>
  </si>
  <si>
    <t>n beta T^3</t>
  </si>
  <si>
    <t>Au phonon heat capacity</t>
  </si>
  <si>
    <t>Optional Ho Schottky heat capacity</t>
  </si>
  <si>
    <t>Very crude two-level model, disabled by default</t>
  </si>
  <si>
    <t>Total heat capacity</t>
  </si>
  <si>
    <t>Electronic + phonon + optional Schottky</t>
  </si>
  <si>
    <t>eV/mK</t>
  </si>
  <si>
    <t>J/K to eV/mK</t>
  </si>
  <si>
    <t>Heat capacity per count rate</t>
  </si>
  <si>
    <t>eV/mK/Bq</t>
  </si>
  <si>
    <t>Useful scaling when volume tracks activity</t>
  </si>
  <si>
    <t>Temperature rise for 2.8 keV event</t>
  </si>
  <si>
    <t>mK</t>
  </si>
  <si>
    <t>Rough endpoint-scale pulse height if all heat stays in this C</t>
  </si>
  <si>
    <t>Temperature sweep using the same geometry and Au dilution from Inputs</t>
  </si>
  <si>
    <t>T (mK)</t>
  </si>
  <si>
    <t>T (K)</t>
  </si>
  <si>
    <t>Ho electronic C (eV/mK)</t>
  </si>
  <si>
    <t>Au electronic C (eV/mK)</t>
  </si>
  <si>
    <t>Phonon C (eV/mK)</t>
  </si>
  <si>
    <t>Total C (eV/mK)</t>
  </si>
  <si>
    <t>Sources and caveats</t>
  </si>
  <si>
    <t>Item</t>
  </si>
  <si>
    <t>Value used</t>
  </si>
  <si>
    <t>Source / URL</t>
  </si>
  <si>
    <t>163Ho half-life</t>
  </si>
  <si>
    <t>4570 yr</t>
  </si>
  <si>
    <t>HOLMES paper uploaded in this chat: Eur. Phys. J. C (2015) 75:112, DOI 10.1140/epjc/s10052-015-3329-5</t>
  </si>
  <si>
    <t>Paper states 163Ho half-life about 4570 years.</t>
  </si>
  <si>
    <t>HOLMES atoms/Bq scale</t>
  </si>
  <si>
    <t>about 2E11 atoms per Bq</t>
  </si>
  <si>
    <t>HOLMES paper uploaded in this chat: same DOI</t>
  </si>
  <si>
    <t>Paper states about 2E11 Ho nuclei give 1 decay/s.</t>
  </si>
  <si>
    <t>8.795 g/cm^3</t>
  </si>
  <si>
    <t>https://pubchem.ncbi.nlm.nih.gov/element/Holmium</t>
  </si>
  <si>
    <t>Editable on Inputs.</t>
  </si>
  <si>
    <t>Ho atomic mass</t>
  </si>
  <si>
    <t>162.93 g/mol</t>
  </si>
  <si>
    <t>Using 163Ho isotope scale for activity; natural atomic weight is very close.</t>
  </si>
  <si>
    <t>19.32 g/cm^3</t>
  </si>
  <si>
    <t>https://pubchem.ncbi.nlm.nih.gov/element/Gold</t>
  </si>
  <si>
    <t>196.96657 g/mol</t>
  </si>
  <si>
    <t>6.02214076E23 mol^-1</t>
  </si>
  <si>
    <t>https://physics.nist.gov/cgi-bin/cuu/Value?na</t>
  </si>
  <si>
    <t>Exact SI.</t>
  </si>
  <si>
    <t>1.380649E-23 J/K</t>
  </si>
  <si>
    <t>https://physics.nist.gov/cgi-bin/cuu/Value?k</t>
  </si>
  <si>
    <t>6.241509074E18 eV/J</t>
  </si>
  <si>
    <t>https://physics.nist.gov/cgi-bin/cuu/Value?tevj</t>
  </si>
  <si>
    <t>Equivalent to reciprocal of elementary charge in joules/eV.</t>
  </si>
  <si>
    <t>Electronic gamma coefficients</t>
  </si>
  <si>
    <t>Ho 10 mJ/mol/K^2; Au 0.729 mJ/mol/K^2</t>
  </si>
  <si>
    <t>Ho: C. A. Beall and L. R. Kinkead, Physical Review 128, 1136 (1962), https://doi.org/10.1103/PhysRev.128.1136 ; Au: Electronic specific heat tabulations / low-T data, e.g. Kittel-style value 0.729 mJ/mol/K^2</t>
  </si>
  <si>
    <t>Ho fit is for metallic Ho between 0.38 and 4.2 K, extrapolated below range; C_N/magnetic-Schottky term is separate and disabled by default.</t>
  </si>
  <si>
    <t>Debye temperatures</t>
  </si>
  <si>
    <t>Ho 165 K; Au 170 K</t>
  </si>
  <si>
    <t>User-editable engineering estimates; replace with preferred low-temperature material data</t>
  </si>
  <si>
    <t>Used only for approximate phonon beta.</t>
  </si>
  <si>
    <t>Schottky heat capacity</t>
  </si>
  <si>
    <t>Disabled by default</t>
  </si>
  <si>
    <t>No single reliable value assumed</t>
  </si>
  <si>
    <t>Use Δ/kB input only for sensitivity studies; Ho hyperfine/magnetic C_N can dominate and should be measured for the actual Au:Ho alloy/concentration.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</si>
</sst>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4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4" borderId="8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16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164" fontId="0" fillId="0" borderId="5" xfId="0" applyNumberFormat="1" applyBorder="1" applyAlignment="1">
      <alignment wrapText="1"/>
    </xf>
    <xf numFmtId="0" fontId="4" fillId="5" borderId="4" xfId="0" applyFont="1" applyFill="1" applyBorder="1" applyAlignment="1">
      <alignment wrapText="1"/>
    </xf>
    <xf numFmtId="164" fontId="4" fillId="5" borderId="5" xfId="0" applyNumberFormat="1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0" fillId="0" borderId="4" xfId="0" applyNumberFormat="1" applyBorder="1"/>
    <xf numFmtId="165" fontId="0" fillId="0" borderId="5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" fontId="0" fillId="0" borderId="7" xfId="0" applyNumberFormat="1" applyBorder="1"/>
    <xf numFmtId="165" fontId="0" fillId="0" borderId="8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4" fillId="5" borderId="5" xfId="0" applyNumberFormat="1" applyFont="1" applyFill="1" applyBorder="1" applyAlignment="1">
      <alignment wrapText="1"/>
    </xf>
    <xf numFmtId="1" fontId="4" fillId="5" borderId="5" xfId="0" applyNumberFormat="1" applyFont="1" applyFill="1" applyBorder="1" applyAlignment="1">
      <alignment wrapText="1"/>
    </xf>
    <xf numFmtId="164" fontId="4" fillId="0" borderId="8" xfId="0" applyNumberFormat="1" applyFont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Heat capacity vs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 (K)</c:v>
          </c:tx>
          <c:cat>
            <c:numRef>
              <c:f>'Temp Sweep'!$A$4:$A$22</c:f>
              <c:numCache>
                <c:formatCode>0</c:formatCode>
                <c:ptCount val="1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</c:numCache>
            </c:numRef>
          </c:cat>
          <c:val>
            <c:numRef>
              <c:f>'Temp Sweep'!$B$4:$B$22</c:f>
              <c:numCache>
                <c:formatCode>0.000</c:formatCode>
                <c:ptCount val="19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0F-484A-B17C-470E1FC05BA0}"/>
            </c:ext>
          </c:extLst>
        </c:ser>
        <c:ser>
          <c:idx val="1"/>
          <c:order val="1"/>
          <c:tx>
            <c:v>Ho electronic C (eV/mK)</c:v>
          </c:tx>
          <c:cat>
            <c:numRef>
              <c:f>'Temp Sweep'!$A$4:$A$22</c:f>
              <c:numCache>
                <c:formatCode>0</c:formatCode>
                <c:ptCount val="1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</c:numCache>
            </c:numRef>
          </c:cat>
          <c:val>
            <c:numRef>
              <c:f>'Temp Sweep'!$C$4:$C$22</c:f>
              <c:numCache>
                <c:formatCode>0.000E+00</c:formatCode>
                <c:ptCount val="19"/>
                <c:pt idx="0">
                  <c:v>11.007115584800012</c:v>
                </c:pt>
                <c:pt idx="1">
                  <c:v>16.510673377200018</c:v>
                </c:pt>
                <c:pt idx="2">
                  <c:v>22.014231169600023</c:v>
                </c:pt>
                <c:pt idx="3">
                  <c:v>27.517788962000033</c:v>
                </c:pt>
                <c:pt idx="4">
                  <c:v>33.021346754400035</c:v>
                </c:pt>
                <c:pt idx="5">
                  <c:v>38.524904546800045</c:v>
                </c:pt>
                <c:pt idx="6">
                  <c:v>44.028462339200047</c:v>
                </c:pt>
                <c:pt idx="7">
                  <c:v>49.532020131600063</c:v>
                </c:pt>
                <c:pt idx="8">
                  <c:v>55.035577924000066</c:v>
                </c:pt>
                <c:pt idx="9">
                  <c:v>60.539135716400068</c:v>
                </c:pt>
                <c:pt idx="10">
                  <c:v>66.04269350880007</c:v>
                </c:pt>
                <c:pt idx="11">
                  <c:v>71.546251301200087</c:v>
                </c:pt>
                <c:pt idx="12">
                  <c:v>77.049809093600089</c:v>
                </c:pt>
                <c:pt idx="13">
                  <c:v>82.553366886000092</c:v>
                </c:pt>
                <c:pt idx="14">
                  <c:v>88.056924678400094</c:v>
                </c:pt>
                <c:pt idx="15">
                  <c:v>93.560482470800125</c:v>
                </c:pt>
                <c:pt idx="16">
                  <c:v>99.064040263200127</c:v>
                </c:pt>
                <c:pt idx="17">
                  <c:v>104.56759805560012</c:v>
                </c:pt>
                <c:pt idx="18">
                  <c:v>110.07115584800013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F-484A-B17C-470E1FC05BA0}"/>
            </c:ext>
          </c:extLst>
        </c:ser>
        <c:ser>
          <c:idx val="2"/>
          <c:order val="2"/>
          <c:tx>
            <c:v>Au electronic C (eV/mK)</c:v>
          </c:tx>
          <c:cat>
            <c:numRef>
              <c:f>'Temp Sweep'!$A$4:$A$22</c:f>
              <c:numCache>
                <c:formatCode>0</c:formatCode>
                <c:ptCount val="1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</c:numCache>
            </c:numRef>
          </c:cat>
          <c:val>
            <c:numRef>
              <c:f>'Temp Sweep'!$D$4:$D$22</c:f>
              <c:numCache>
                <c:formatCode>0.000E+00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0F-484A-B17C-470E1FC05BA0}"/>
            </c:ext>
          </c:extLst>
        </c:ser>
        <c:ser>
          <c:idx val="3"/>
          <c:order val="3"/>
          <c:tx>
            <c:v>Phonon C (eV/mK)</c:v>
          </c:tx>
          <c:cat>
            <c:numRef>
              <c:f>'Temp Sweep'!$A$4:$A$22</c:f>
              <c:numCache>
                <c:formatCode>0</c:formatCode>
                <c:ptCount val="1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</c:numCache>
            </c:numRef>
          </c:cat>
          <c:val>
            <c:numRef>
              <c:f>'Temp Sweep'!$E$4:$E$22</c:f>
              <c:numCache>
                <c:formatCode>0.000E+00</c:formatCode>
                <c:ptCount val="19"/>
                <c:pt idx="0">
                  <c:v>1.9051387178664516E-4</c:v>
                </c:pt>
                <c:pt idx="1">
                  <c:v>6.4298431727992736E-4</c:v>
                </c:pt>
                <c:pt idx="2">
                  <c:v>1.5241109742931613E-3</c:v>
                </c:pt>
                <c:pt idx="3">
                  <c:v>2.9767792466663312E-3</c:v>
                </c:pt>
                <c:pt idx="4">
                  <c:v>5.1438745382394188E-3</c:v>
                </c:pt>
                <c:pt idx="5">
                  <c:v>8.1682822528524116E-3</c:v>
                </c:pt>
                <c:pt idx="6">
                  <c:v>1.219288779434529E-2</c:v>
                </c:pt>
                <c:pt idx="7">
                  <c:v>1.7360576566558039E-2</c:v>
                </c:pt>
                <c:pt idx="8">
                  <c:v>2.3814233973330649E-2</c:v>
                </c:pt>
                <c:pt idx="9">
                  <c:v>3.1696745418503078E-2</c:v>
                </c:pt>
                <c:pt idx="10">
                  <c:v>4.1150996305915351E-2</c:v>
                </c:pt>
                <c:pt idx="11">
                  <c:v>5.2319872039407418E-2</c:v>
                </c:pt>
                <c:pt idx="12">
                  <c:v>6.5346258022819292E-2</c:v>
                </c:pt>
                <c:pt idx="13">
                  <c:v>8.0373039659990902E-2</c:v>
                </c:pt>
                <c:pt idx="14">
                  <c:v>9.7543102354762323E-2</c:v>
                </c:pt>
                <c:pt idx="15">
                  <c:v>0.1169993315109735</c:v>
                </c:pt>
                <c:pt idx="16">
                  <c:v>0.13888461253246431</c:v>
                </c:pt>
                <c:pt idx="17">
                  <c:v>0.16334183082307488</c:v>
                </c:pt>
                <c:pt idx="18">
                  <c:v>0.19051387178664519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0F-484A-B17C-470E1FC05BA0}"/>
            </c:ext>
          </c:extLst>
        </c:ser>
        <c:ser>
          <c:idx val="4"/>
          <c:order val="4"/>
          <c:tx>
            <c:v>Total C (eV/mK)</c:v>
          </c:tx>
          <c:cat>
            <c:numRef>
              <c:f>'Temp Sweep'!$A$4:$A$22</c:f>
              <c:numCache>
                <c:formatCode>0</c:formatCode>
                <c:ptCount val="1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</c:numCache>
            </c:numRef>
          </c:cat>
          <c:val>
            <c:numRef>
              <c:f>'Temp Sweep'!$F$4:$F$22</c:f>
              <c:numCache>
                <c:formatCode>0.000E+00</c:formatCode>
                <c:ptCount val="19"/>
                <c:pt idx="0">
                  <c:v>11.007306098671798</c:v>
                </c:pt>
                <c:pt idx="1">
                  <c:v>16.511316361517299</c:v>
                </c:pt>
                <c:pt idx="2">
                  <c:v>22.015755280574318</c:v>
                </c:pt>
                <c:pt idx="3">
                  <c:v>27.520765741246699</c:v>
                </c:pt>
                <c:pt idx="4">
                  <c:v>33.026490628938276</c:v>
                </c:pt>
                <c:pt idx="5">
                  <c:v>38.533072829052898</c:v>
                </c:pt>
                <c:pt idx="6">
                  <c:v>44.040655226994389</c:v>
                </c:pt>
                <c:pt idx="7">
                  <c:v>49.549380708166623</c:v>
                </c:pt>
                <c:pt idx="8">
                  <c:v>55.059392157973399</c:v>
                </c:pt>
                <c:pt idx="9">
                  <c:v>60.570832461818569</c:v>
                </c:pt>
                <c:pt idx="10">
                  <c:v>66.083844505105986</c:v>
                </c:pt>
                <c:pt idx="11">
                  <c:v>71.598571173239492</c:v>
                </c:pt>
                <c:pt idx="12">
                  <c:v>77.115155351622903</c:v>
                </c:pt>
                <c:pt idx="13">
                  <c:v>82.63373992566008</c:v>
                </c:pt>
                <c:pt idx="14">
                  <c:v>88.154467780754857</c:v>
                </c:pt>
                <c:pt idx="15">
                  <c:v>93.677481802311092</c:v>
                </c:pt>
                <c:pt idx="16">
                  <c:v>99.202924875732592</c:v>
                </c:pt>
                <c:pt idx="17">
                  <c:v>104.73093988642319</c:v>
                </c:pt>
                <c:pt idx="18">
                  <c:v>110.26166971978678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0F-484A-B17C-470E1FC05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3" workbookViewId="0">
      <selection activeCell="B10" sqref="B10"/>
    </sheetView>
  </sheetViews>
  <sheetFormatPr defaultRowHeight="13.8"/>
  <cols>
    <col min="1" max="1" width="34" customWidth="1"/>
    <col min="2" max="3" width="16" customWidth="1"/>
    <col min="4" max="4" width="58" customWidth="1"/>
  </cols>
  <sheetData>
    <row r="1" spans="1:8" ht="17.399999999999999">
      <c r="A1" s="45" t="s">
        <v>0</v>
      </c>
      <c r="B1" s="46"/>
      <c r="C1" s="46"/>
      <c r="D1" s="46"/>
      <c r="E1" s="46"/>
      <c r="F1" s="46"/>
      <c r="G1" s="46"/>
      <c r="H1" s="46"/>
    </row>
    <row r="2" spans="1:8" ht="14.4">
      <c r="A2" s="47" t="s">
        <v>1</v>
      </c>
      <c r="B2" s="46"/>
      <c r="C2" s="46"/>
      <c r="D2" s="46"/>
      <c r="E2" s="46"/>
      <c r="F2" s="46"/>
      <c r="G2" s="46"/>
      <c r="H2" s="46"/>
    </row>
    <row r="4" spans="1:8">
      <c r="A4" s="1" t="s">
        <v>2</v>
      </c>
      <c r="B4" s="2"/>
      <c r="C4" s="2"/>
      <c r="D4" s="3"/>
    </row>
    <row r="5" spans="1:8">
      <c r="A5" s="4" t="s">
        <v>3</v>
      </c>
      <c r="B5" s="5">
        <v>33</v>
      </c>
      <c r="C5" s="6" t="s">
        <v>4</v>
      </c>
      <c r="D5" s="7" t="s">
        <v>5</v>
      </c>
    </row>
    <row r="6" spans="1:8">
      <c r="A6" s="4" t="s">
        <v>6</v>
      </c>
      <c r="B6" s="5">
        <v>33</v>
      </c>
      <c r="C6" s="6" t="s">
        <v>4</v>
      </c>
      <c r="D6" s="7" t="s">
        <v>7</v>
      </c>
    </row>
    <row r="7" spans="1:8">
      <c r="A7" s="4" t="s">
        <v>8</v>
      </c>
      <c r="B7" s="5">
        <v>0.15</v>
      </c>
      <c r="C7" s="6" t="s">
        <v>4</v>
      </c>
      <c r="D7" s="7" t="s">
        <v>9</v>
      </c>
    </row>
    <row r="8" spans="1:8">
      <c r="A8" s="4" t="s">
        <v>10</v>
      </c>
      <c r="B8" s="5">
        <v>1</v>
      </c>
      <c r="C8" s="6" t="s">
        <v>11</v>
      </c>
      <c r="D8" s="7" t="s">
        <v>12</v>
      </c>
    </row>
    <row r="9" spans="1:8">
      <c r="A9" s="4" t="s">
        <v>13</v>
      </c>
      <c r="B9" s="5">
        <v>0.05</v>
      </c>
      <c r="C9" s="6" t="s">
        <v>14</v>
      </c>
      <c r="D9" s="7" t="s">
        <v>15</v>
      </c>
    </row>
    <row r="10" spans="1:8" ht="27.6">
      <c r="A10" s="4" t="s">
        <v>16</v>
      </c>
      <c r="B10" s="5">
        <v>0</v>
      </c>
      <c r="C10" s="6" t="s">
        <v>14</v>
      </c>
      <c r="D10" s="7" t="s">
        <v>17</v>
      </c>
    </row>
    <row r="11" spans="1:8">
      <c r="A11" s="4"/>
      <c r="B11" s="6"/>
      <c r="C11" s="6"/>
      <c r="D11" s="7"/>
    </row>
    <row r="12" spans="1:8">
      <c r="A12" s="8" t="s">
        <v>18</v>
      </c>
      <c r="B12" s="9"/>
      <c r="C12" s="9"/>
      <c r="D12" s="10"/>
    </row>
    <row r="13" spans="1:8">
      <c r="A13" s="4" t="s">
        <v>19</v>
      </c>
      <c r="B13" s="5">
        <v>162.93</v>
      </c>
      <c r="C13" s="6" t="s">
        <v>20</v>
      </c>
      <c r="D13" s="7" t="s">
        <v>21</v>
      </c>
    </row>
    <row r="14" spans="1:8">
      <c r="A14" s="4" t="s">
        <v>22</v>
      </c>
      <c r="B14" s="5">
        <v>8.7949999999999999</v>
      </c>
      <c r="C14" s="6" t="s">
        <v>23</v>
      </c>
      <c r="D14" s="7" t="s">
        <v>24</v>
      </c>
    </row>
    <row r="15" spans="1:8" ht="27.6">
      <c r="A15" s="4" t="s">
        <v>25</v>
      </c>
      <c r="B15" s="5">
        <v>10</v>
      </c>
      <c r="C15" s="6" t="s">
        <v>26</v>
      </c>
      <c r="D15" s="7" t="s">
        <v>27</v>
      </c>
    </row>
    <row r="16" spans="1:8">
      <c r="A16" s="4" t="s">
        <v>28</v>
      </c>
      <c r="B16" s="5">
        <v>165</v>
      </c>
      <c r="C16" s="6" t="s">
        <v>14</v>
      </c>
      <c r="D16" s="7" t="s">
        <v>29</v>
      </c>
    </row>
    <row r="17" spans="1:4">
      <c r="A17" s="4" t="s">
        <v>30</v>
      </c>
      <c r="B17" s="5">
        <v>4570</v>
      </c>
      <c r="C17" s="6" t="s">
        <v>31</v>
      </c>
      <c r="D17" s="7" t="s">
        <v>32</v>
      </c>
    </row>
    <row r="18" spans="1:4">
      <c r="A18" s="4"/>
      <c r="B18" s="6"/>
      <c r="C18" s="6"/>
      <c r="D18" s="7"/>
    </row>
    <row r="19" spans="1:4">
      <c r="A19" s="8" t="s">
        <v>33</v>
      </c>
      <c r="B19" s="9"/>
      <c r="C19" s="9"/>
      <c r="D19" s="10"/>
    </row>
    <row r="20" spans="1:4">
      <c r="A20" s="4" t="s">
        <v>34</v>
      </c>
      <c r="B20" s="5">
        <v>196.96656999999999</v>
      </c>
      <c r="C20" s="6" t="s">
        <v>20</v>
      </c>
      <c r="D20" s="7" t="s">
        <v>35</v>
      </c>
    </row>
    <row r="21" spans="1:4">
      <c r="A21" s="4" t="s">
        <v>36</v>
      </c>
      <c r="B21" s="5">
        <v>19.32</v>
      </c>
      <c r="C21" s="6" t="s">
        <v>23</v>
      </c>
      <c r="D21" s="7" t="s">
        <v>35</v>
      </c>
    </row>
    <row r="22" spans="1:4" ht="27.6">
      <c r="A22" s="4" t="s">
        <v>37</v>
      </c>
      <c r="B22" s="5">
        <v>0.72899999999999998</v>
      </c>
      <c r="C22" s="6" t="s">
        <v>26</v>
      </c>
      <c r="D22" s="7" t="s">
        <v>38</v>
      </c>
    </row>
    <row r="23" spans="1:4">
      <c r="A23" s="4" t="s">
        <v>39</v>
      </c>
      <c r="B23" s="5">
        <v>170</v>
      </c>
      <c r="C23" s="6" t="s">
        <v>14</v>
      </c>
      <c r="D23" s="7" t="s">
        <v>29</v>
      </c>
    </row>
    <row r="24" spans="1:4">
      <c r="A24" s="4"/>
      <c r="B24" s="6"/>
      <c r="C24" s="6"/>
      <c r="D24" s="7"/>
    </row>
    <row r="25" spans="1:4">
      <c r="A25" s="8" t="s">
        <v>40</v>
      </c>
      <c r="B25" s="9"/>
      <c r="C25" s="9"/>
      <c r="D25" s="10"/>
    </row>
    <row r="26" spans="1:4">
      <c r="A26" s="4" t="s">
        <v>41</v>
      </c>
      <c r="B26" s="5">
        <v>6.0221407599999999E+23</v>
      </c>
      <c r="C26" s="6" t="s">
        <v>42</v>
      </c>
      <c r="D26" s="7" t="s">
        <v>43</v>
      </c>
    </row>
    <row r="27" spans="1:4">
      <c r="A27" s="4" t="s">
        <v>44</v>
      </c>
      <c r="B27" s="5">
        <v>1.3806490000000001E-23</v>
      </c>
      <c r="C27" s="6" t="s">
        <v>45</v>
      </c>
      <c r="D27" s="7" t="s">
        <v>43</v>
      </c>
    </row>
    <row r="28" spans="1:4">
      <c r="A28" s="4" t="s">
        <v>46</v>
      </c>
      <c r="B28" s="5">
        <v>6.241509074E+18</v>
      </c>
      <c r="C28" s="6" t="s">
        <v>47</v>
      </c>
      <c r="D28" s="7" t="s">
        <v>48</v>
      </c>
    </row>
    <row r="29" spans="1:4">
      <c r="A29" s="11" t="s">
        <v>49</v>
      </c>
      <c r="B29" s="12">
        <v>31557600</v>
      </c>
      <c r="C29" s="13" t="s">
        <v>50</v>
      </c>
      <c r="D29" s="14" t="s">
        <v>51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workbookViewId="0">
      <selection activeCell="B35" sqref="B35"/>
    </sheetView>
  </sheetViews>
  <sheetFormatPr defaultRowHeight="13.8"/>
  <cols>
    <col min="1" max="1" width="34" customWidth="1"/>
    <col min="2" max="2" width="18" customWidth="1"/>
    <col min="3" max="3" width="16" customWidth="1"/>
    <col min="4" max="4" width="58" customWidth="1"/>
  </cols>
  <sheetData>
    <row r="1" spans="1:8" ht="17.399999999999999">
      <c r="A1" s="45" t="s">
        <v>52</v>
      </c>
      <c r="B1" s="46"/>
      <c r="C1" s="46"/>
      <c r="D1" s="46"/>
      <c r="E1" s="46"/>
      <c r="F1" s="46"/>
      <c r="G1" s="46"/>
      <c r="H1" s="46"/>
    </row>
    <row r="3" spans="1:8">
      <c r="A3" s="15" t="s">
        <v>53</v>
      </c>
      <c r="B3" s="15" t="s">
        <v>54</v>
      </c>
      <c r="C3" s="15" t="s">
        <v>55</v>
      </c>
      <c r="D3" s="15" t="s">
        <v>56</v>
      </c>
    </row>
    <row r="4" spans="1:8">
      <c r="A4" s="16" t="s">
        <v>57</v>
      </c>
      <c r="B4" s="17">
        <f>Inputs!B5*Inputs!B6*Inputs!B7</f>
        <v>163.35</v>
      </c>
      <c r="C4" s="18" t="s">
        <v>58</v>
      </c>
      <c r="D4" s="19" t="s">
        <v>59</v>
      </c>
    </row>
    <row r="5" spans="1:8">
      <c r="A5" s="4" t="s">
        <v>57</v>
      </c>
      <c r="B5" s="20">
        <f>B4*0.000000000001</f>
        <v>1.6334999999999998E-10</v>
      </c>
      <c r="C5" s="6" t="s">
        <v>60</v>
      </c>
      <c r="D5" s="7" t="s">
        <v>61</v>
      </c>
    </row>
    <row r="6" spans="1:8">
      <c r="A6" s="4" t="s">
        <v>62</v>
      </c>
      <c r="B6" s="20">
        <f>Inputs!B8</f>
        <v>1</v>
      </c>
      <c r="C6" s="6" t="s">
        <v>11</v>
      </c>
      <c r="D6" s="7" t="s">
        <v>63</v>
      </c>
    </row>
    <row r="7" spans="1:8">
      <c r="A7" s="4" t="s">
        <v>64</v>
      </c>
      <c r="B7" s="20">
        <f>1-B6</f>
        <v>0</v>
      </c>
      <c r="C7" s="6" t="s">
        <v>11</v>
      </c>
      <c r="D7" s="7" t="s">
        <v>65</v>
      </c>
    </row>
    <row r="8" spans="1:8">
      <c r="A8" s="4" t="s">
        <v>66</v>
      </c>
      <c r="B8" s="20">
        <f>Inputs!B13/Inputs!B14</f>
        <v>18.525298465036954</v>
      </c>
      <c r="C8" s="6" t="s">
        <v>67</v>
      </c>
      <c r="D8" s="7" t="s">
        <v>68</v>
      </c>
    </row>
    <row r="9" spans="1:8">
      <c r="A9" s="4" t="s">
        <v>69</v>
      </c>
      <c r="B9" s="20">
        <f>Inputs!B20/Inputs!B21</f>
        <v>10.194957039337474</v>
      </c>
      <c r="C9" s="6" t="s">
        <v>67</v>
      </c>
      <c r="D9" s="7" t="s">
        <v>68</v>
      </c>
    </row>
    <row r="10" spans="1:8">
      <c r="A10" s="4" t="s">
        <v>70</v>
      </c>
      <c r="B10" s="20">
        <f>B6*B8+B7*B9</f>
        <v>18.525298465036954</v>
      </c>
      <c r="C10" s="6" t="s">
        <v>67</v>
      </c>
      <c r="D10" s="7" t="s">
        <v>71</v>
      </c>
    </row>
    <row r="11" spans="1:8">
      <c r="A11" s="4" t="s">
        <v>72</v>
      </c>
      <c r="B11" s="20">
        <f>B5/B10</f>
        <v>8.8176716995028532E-12</v>
      </c>
      <c r="C11" s="6" t="s">
        <v>73</v>
      </c>
      <c r="D11" s="7" t="s">
        <v>74</v>
      </c>
    </row>
    <row r="12" spans="1:8">
      <c r="A12" s="4" t="s">
        <v>75</v>
      </c>
      <c r="B12" s="20">
        <f>B6*B11</f>
        <v>8.8176716995028532E-12</v>
      </c>
      <c r="C12" s="6" t="s">
        <v>76</v>
      </c>
      <c r="D12" s="7" t="s">
        <v>77</v>
      </c>
    </row>
    <row r="13" spans="1:8">
      <c r="A13" s="4" t="s">
        <v>78</v>
      </c>
      <c r="B13" s="20">
        <f>B7*B11</f>
        <v>0</v>
      </c>
      <c r="C13" s="6" t="s">
        <v>76</v>
      </c>
      <c r="D13" s="7" t="s">
        <v>79</v>
      </c>
    </row>
    <row r="14" spans="1:8">
      <c r="A14" s="4" t="s">
        <v>80</v>
      </c>
      <c r="B14" s="20">
        <f>B12*Inputs!B26</f>
        <v>5310126014987.46</v>
      </c>
      <c r="C14" s="6" t="s">
        <v>81</v>
      </c>
      <c r="D14" s="7" t="s">
        <v>82</v>
      </c>
    </row>
    <row r="15" spans="1:8">
      <c r="A15" s="4" t="s">
        <v>83</v>
      </c>
      <c r="B15" s="20">
        <f>B13*Inputs!B26</f>
        <v>0</v>
      </c>
      <c r="C15" s="6" t="s">
        <v>81</v>
      </c>
      <c r="D15" s="7" t="s">
        <v>82</v>
      </c>
    </row>
    <row r="16" spans="1:8">
      <c r="A16" s="4" t="s">
        <v>84</v>
      </c>
      <c r="B16" s="20">
        <f>B12*Inputs!B13</f>
        <v>1.4366632499999999E-9</v>
      </c>
      <c r="C16" s="6" t="s">
        <v>85</v>
      </c>
      <c r="D16" s="7"/>
    </row>
    <row r="17" spans="1:4">
      <c r="A17" s="4" t="s">
        <v>86</v>
      </c>
      <c r="B17" s="20">
        <f>B13*Inputs!B20</f>
        <v>0</v>
      </c>
      <c r="C17" s="6" t="s">
        <v>85</v>
      </c>
      <c r="D17" s="7"/>
    </row>
    <row r="18" spans="1:4">
      <c r="A18" s="4" t="s">
        <v>87</v>
      </c>
      <c r="B18" s="20">
        <f>Inputs!B17*Inputs!B29</f>
        <v>144218232000</v>
      </c>
      <c r="C18" s="6" t="s">
        <v>88</v>
      </c>
      <c r="D18" s="7" t="s">
        <v>89</v>
      </c>
    </row>
    <row r="19" spans="1:4">
      <c r="A19" s="4" t="s">
        <v>90</v>
      </c>
      <c r="B19" s="20">
        <f>LN(2)/B18</f>
        <v>4.8062382331794589E-12</v>
      </c>
      <c r="C19" s="6" t="s">
        <v>91</v>
      </c>
      <c r="D19" s="7"/>
    </row>
    <row r="20" spans="1:4">
      <c r="A20" s="21" t="s">
        <v>92</v>
      </c>
      <c r="B20" s="43">
        <f>B19*B14</f>
        <v>25.521730676233609</v>
      </c>
      <c r="C20" s="23" t="s">
        <v>93</v>
      </c>
      <c r="D20" s="24" t="s">
        <v>94</v>
      </c>
    </row>
    <row r="21" spans="1:4">
      <c r="A21" s="4"/>
      <c r="B21" s="20"/>
      <c r="C21" s="6"/>
      <c r="D21" s="7"/>
    </row>
    <row r="22" spans="1:4">
      <c r="A22" s="4" t="s">
        <v>13</v>
      </c>
      <c r="B22" s="20">
        <f>Inputs!B9</f>
        <v>0.05</v>
      </c>
      <c r="C22" s="6" t="s">
        <v>14</v>
      </c>
      <c r="D22" s="7"/>
    </row>
    <row r="23" spans="1:4">
      <c r="A23" s="4" t="s">
        <v>95</v>
      </c>
      <c r="B23" s="20">
        <f>Inputs!B15/1000</f>
        <v>0.01</v>
      </c>
      <c r="C23" s="6" t="s">
        <v>96</v>
      </c>
      <c r="D23" s="7" t="s">
        <v>97</v>
      </c>
    </row>
    <row r="24" spans="1:4">
      <c r="A24" s="4" t="s">
        <v>98</v>
      </c>
      <c r="B24" s="20">
        <f>Inputs!B22/1000</f>
        <v>7.2899999999999994E-4</v>
      </c>
      <c r="C24" s="6" t="s">
        <v>96</v>
      </c>
      <c r="D24" s="7" t="s">
        <v>97</v>
      </c>
    </row>
    <row r="25" spans="1:4">
      <c r="A25" s="4" t="s">
        <v>99</v>
      </c>
      <c r="B25" s="20">
        <f>(12*PI()^4/5)*8.314462618/(Inputs!B16^3)</f>
        <v>4.3270616702192687E-4</v>
      </c>
      <c r="C25" s="6" t="s">
        <v>100</v>
      </c>
      <c r="D25" s="7" t="s">
        <v>101</v>
      </c>
    </row>
    <row r="26" spans="1:4">
      <c r="A26" s="4" t="s">
        <v>102</v>
      </c>
      <c r="B26" s="20">
        <f>(12*PI()^4/5)*8.314462618/(Inputs!B23^3)</f>
        <v>3.9563814177353418E-4</v>
      </c>
      <c r="C26" s="6" t="s">
        <v>100</v>
      </c>
      <c r="D26" s="7" t="s">
        <v>101</v>
      </c>
    </row>
    <row r="27" spans="1:4">
      <c r="A27" s="4" t="s">
        <v>103</v>
      </c>
      <c r="B27" s="20">
        <f>B12*B23*B22</f>
        <v>4.4088358497514268E-15</v>
      </c>
      <c r="C27" s="6" t="s">
        <v>45</v>
      </c>
      <c r="D27" s="7" t="s">
        <v>104</v>
      </c>
    </row>
    <row r="28" spans="1:4">
      <c r="A28" s="4" t="s">
        <v>105</v>
      </c>
      <c r="B28" s="20">
        <f>B13*B24*B22</f>
        <v>0</v>
      </c>
      <c r="C28" s="6" t="s">
        <v>45</v>
      </c>
      <c r="D28" s="7" t="s">
        <v>104</v>
      </c>
    </row>
    <row r="29" spans="1:4">
      <c r="A29" s="4" t="s">
        <v>106</v>
      </c>
      <c r="B29" s="20">
        <f>B12*B25*B22^3</f>
        <v>4.7693261539370006E-19</v>
      </c>
      <c r="C29" s="6" t="s">
        <v>45</v>
      </c>
      <c r="D29" s="7" t="s">
        <v>107</v>
      </c>
    </row>
    <row r="30" spans="1:4">
      <c r="A30" s="4" t="s">
        <v>108</v>
      </c>
      <c r="B30" s="20">
        <f>B13*B26*B22^3</f>
        <v>0</v>
      </c>
      <c r="C30" s="6" t="s">
        <v>45</v>
      </c>
      <c r="D30" s="7" t="s">
        <v>107</v>
      </c>
    </row>
    <row r="31" spans="1:4">
      <c r="A31" s="4" t="s">
        <v>109</v>
      </c>
      <c r="B31" s="20">
        <f>IF(Inputs!B10&lt;=0,0,B14*Inputs!B27*(Inputs!B10/B22)^2*EXP(Inputs!B10/B22)/(1+EXP(Inputs!B10/B22))^2)</f>
        <v>0</v>
      </c>
      <c r="C31" s="6" t="s">
        <v>45</v>
      </c>
      <c r="D31" s="7" t="s">
        <v>110</v>
      </c>
    </row>
    <row r="32" spans="1:4">
      <c r="A32" s="21" t="s">
        <v>111</v>
      </c>
      <c r="B32" s="22">
        <f>SUM(B27:B31)</f>
        <v>4.4093127823668203E-15</v>
      </c>
      <c r="C32" s="23" t="s">
        <v>45</v>
      </c>
      <c r="D32" s="24" t="s">
        <v>112</v>
      </c>
    </row>
    <row r="33" spans="1:4">
      <c r="A33" s="21" t="s">
        <v>111</v>
      </c>
      <c r="B33" s="42">
        <f>B32*Inputs!B28/1000</f>
        <v>27.520765741246699</v>
      </c>
      <c r="C33" s="23" t="s">
        <v>113</v>
      </c>
      <c r="D33" s="24" t="s">
        <v>114</v>
      </c>
    </row>
    <row r="34" spans="1:4">
      <c r="A34" s="21" t="s">
        <v>115</v>
      </c>
      <c r="B34" s="22">
        <f>B33/B20</f>
        <v>1.0783267831783303</v>
      </c>
      <c r="C34" s="23" t="s">
        <v>116</v>
      </c>
      <c r="D34" s="24" t="s">
        <v>117</v>
      </c>
    </row>
    <row r="35" spans="1:4">
      <c r="A35" s="11" t="s">
        <v>118</v>
      </c>
      <c r="B35" s="44">
        <f>2800/B33</f>
        <v>101.74135510348482</v>
      </c>
      <c r="C35" s="13" t="s">
        <v>119</v>
      </c>
      <c r="D35" s="14" t="s">
        <v>120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sqref="A1:H1"/>
    </sheetView>
  </sheetViews>
  <sheetFormatPr defaultRowHeight="13.8"/>
  <cols>
    <col min="1" max="6" width="20" customWidth="1"/>
  </cols>
  <sheetData>
    <row r="1" spans="1:8" ht="17.399999999999999">
      <c r="A1" s="45" t="s">
        <v>121</v>
      </c>
      <c r="B1" s="46"/>
      <c r="C1" s="46"/>
      <c r="D1" s="46"/>
      <c r="E1" s="46"/>
      <c r="F1" s="46"/>
      <c r="G1" s="46"/>
      <c r="H1" s="46"/>
    </row>
    <row r="3" spans="1:8">
      <c r="A3" s="25" t="s">
        <v>122</v>
      </c>
      <c r="B3" s="26" t="s">
        <v>123</v>
      </c>
      <c r="C3" s="26" t="s">
        <v>124</v>
      </c>
      <c r="D3" s="26" t="s">
        <v>125</v>
      </c>
      <c r="E3" s="26" t="s">
        <v>126</v>
      </c>
      <c r="F3" s="27" t="s">
        <v>127</v>
      </c>
    </row>
    <row r="4" spans="1:8">
      <c r="A4" s="28">
        <v>20</v>
      </c>
      <c r="B4" s="29">
        <f t="shared" ref="B4:B22" si="0">A4/1000</f>
        <v>0.02</v>
      </c>
      <c r="C4" s="30">
        <f>Calculator!B12*Calculator!B23*B4*Inputs!B28/1000</f>
        <v>11.007115584800012</v>
      </c>
      <c r="D4" s="30">
        <f>Calculator!B13*Calculator!B24*B4*Inputs!B28/1000</f>
        <v>0</v>
      </c>
      <c r="E4" s="30">
        <f>(Calculator!B12*Calculator!B25*B4^3+Calculator!B13*Calculator!B26*B4^3)*Inputs!B28/1000</f>
        <v>1.9051387178664516E-4</v>
      </c>
      <c r="F4" s="31">
        <f>C4+D4+E4+IF(Inputs!B10&lt;=0,0,Calculator!B14*Inputs!B27*(Inputs!B10/B4)^2*EXP(Inputs!B10/B4)/(1+EXP(Inputs!B10/B4))^2*Inputs!B28/1000)</f>
        <v>11.007306098671798</v>
      </c>
    </row>
    <row r="5" spans="1:8">
      <c r="A5" s="28">
        <v>30</v>
      </c>
      <c r="B5" s="29">
        <f t="shared" si="0"/>
        <v>0.03</v>
      </c>
      <c r="C5" s="30">
        <f>Calculator!B12*Calculator!B23*B5*Inputs!B28/1000</f>
        <v>16.510673377200018</v>
      </c>
      <c r="D5" s="30">
        <f>Calculator!B13*Calculator!B24*B5*Inputs!B28/1000</f>
        <v>0</v>
      </c>
      <c r="E5" s="30">
        <f>(Calculator!B12*Calculator!B25*B5^3+Calculator!B13*Calculator!B26*B5^3)*Inputs!B28/1000</f>
        <v>6.4298431727992736E-4</v>
      </c>
      <c r="F5" s="31">
        <f>C5+D5+E5+IF(Inputs!B10&lt;=0,0,Calculator!B14*Inputs!B27*(Inputs!B10/B5)^2*EXP(Inputs!B10/B5)/(1+EXP(Inputs!B10/B5))^2*Inputs!B28/1000)</f>
        <v>16.511316361517299</v>
      </c>
    </row>
    <row r="6" spans="1:8">
      <c r="A6" s="28">
        <v>40</v>
      </c>
      <c r="B6" s="29">
        <f t="shared" si="0"/>
        <v>0.04</v>
      </c>
      <c r="C6" s="30">
        <f>Calculator!B12*Calculator!B23*B6*Inputs!B28/1000</f>
        <v>22.014231169600023</v>
      </c>
      <c r="D6" s="30">
        <f>Calculator!B13*Calculator!B24*B6*Inputs!B28/1000</f>
        <v>0</v>
      </c>
      <c r="E6" s="30">
        <f>(Calculator!B12*Calculator!B25*B6^3+Calculator!B13*Calculator!B26*B6^3)*Inputs!B28/1000</f>
        <v>1.5241109742931613E-3</v>
      </c>
      <c r="F6" s="31">
        <f>C6+D6+E6+IF(Inputs!B10&lt;=0,0,Calculator!B14*Inputs!B27*(Inputs!B10/B6)^2*EXP(Inputs!B10/B6)/(1+EXP(Inputs!B10/B6))^2*Inputs!B28/1000)</f>
        <v>22.015755280574318</v>
      </c>
    </row>
    <row r="7" spans="1:8">
      <c r="A7" s="28">
        <v>50</v>
      </c>
      <c r="B7" s="29">
        <f t="shared" si="0"/>
        <v>0.05</v>
      </c>
      <c r="C7" s="30">
        <f>Calculator!B12*Calculator!B23*B7*Inputs!B28/1000</f>
        <v>27.517788962000033</v>
      </c>
      <c r="D7" s="30">
        <f>Calculator!B13*Calculator!B24*B7*Inputs!B28/1000</f>
        <v>0</v>
      </c>
      <c r="E7" s="30">
        <f>(Calculator!B12*Calculator!B25*B7^3+Calculator!B13*Calculator!B26*B7^3)*Inputs!B28/1000</f>
        <v>2.9767792466663312E-3</v>
      </c>
      <c r="F7" s="31">
        <f>C7+D7+E7+IF(Inputs!B10&lt;=0,0,Calculator!B14*Inputs!B27*(Inputs!B10/B7)^2*EXP(Inputs!B10/B7)/(1+EXP(Inputs!B10/B7))^2*Inputs!B28/1000)</f>
        <v>27.520765741246699</v>
      </c>
    </row>
    <row r="8" spans="1:8">
      <c r="A8" s="28">
        <v>60</v>
      </c>
      <c r="B8" s="29">
        <f t="shared" si="0"/>
        <v>0.06</v>
      </c>
      <c r="C8" s="30">
        <f>Calculator!B12*Calculator!B23*B8*Inputs!B28/1000</f>
        <v>33.021346754400035</v>
      </c>
      <c r="D8" s="30">
        <f>Calculator!B13*Calculator!B24*B8*Inputs!B28/1000</f>
        <v>0</v>
      </c>
      <c r="E8" s="30">
        <f>(Calculator!B12*Calculator!B25*B8^3+Calculator!B13*Calculator!B26*B8^3)*Inputs!B28/1000</f>
        <v>5.1438745382394188E-3</v>
      </c>
      <c r="F8" s="31">
        <f>C8+D8+E8+IF(Inputs!B10&lt;=0,0,Calculator!B14*Inputs!B27*(Inputs!B10/B8)^2*EXP(Inputs!B10/B8)/(1+EXP(Inputs!B10/B8))^2*Inputs!B28/1000)</f>
        <v>33.026490628938276</v>
      </c>
    </row>
    <row r="9" spans="1:8">
      <c r="A9" s="28">
        <v>70</v>
      </c>
      <c r="B9" s="29">
        <f t="shared" si="0"/>
        <v>7.0000000000000007E-2</v>
      </c>
      <c r="C9" s="30">
        <f>Calculator!B12*Calculator!B23*B9*Inputs!B28/1000</f>
        <v>38.524904546800045</v>
      </c>
      <c r="D9" s="30">
        <f>Calculator!B13*Calculator!B24*B9*Inputs!B28/1000</f>
        <v>0</v>
      </c>
      <c r="E9" s="30">
        <f>(Calculator!B12*Calculator!B25*B9^3+Calculator!B13*Calculator!B26*B9^3)*Inputs!B28/1000</f>
        <v>8.1682822528524116E-3</v>
      </c>
      <c r="F9" s="31">
        <f>C9+D9+E9+IF(Inputs!B10&lt;=0,0,Calculator!B14*Inputs!B27*(Inputs!B10/B9)^2*EXP(Inputs!B10/B9)/(1+EXP(Inputs!B10/B9))^2*Inputs!B28/1000)</f>
        <v>38.533072829052898</v>
      </c>
    </row>
    <row r="10" spans="1:8">
      <c r="A10" s="28">
        <v>80</v>
      </c>
      <c r="B10" s="29">
        <f t="shared" si="0"/>
        <v>0.08</v>
      </c>
      <c r="C10" s="30">
        <f>Calculator!B12*Calculator!B23*B10*Inputs!B28/1000</f>
        <v>44.028462339200047</v>
      </c>
      <c r="D10" s="30">
        <f>Calculator!B13*Calculator!B24*B10*Inputs!B28/1000</f>
        <v>0</v>
      </c>
      <c r="E10" s="30">
        <f>(Calculator!B12*Calculator!B25*B10^3+Calculator!B13*Calculator!B26*B10^3)*Inputs!B28/1000</f>
        <v>1.219288779434529E-2</v>
      </c>
      <c r="F10" s="31">
        <f>C10+D10+E10+IF(Inputs!B10&lt;=0,0,Calculator!B14*Inputs!B27*(Inputs!B10/B10)^2*EXP(Inputs!B10/B10)/(1+EXP(Inputs!B10/B10))^2*Inputs!B28/1000)</f>
        <v>44.040655226994389</v>
      </c>
    </row>
    <row r="11" spans="1:8">
      <c r="A11" s="28">
        <v>90</v>
      </c>
      <c r="B11" s="29">
        <f t="shared" si="0"/>
        <v>0.09</v>
      </c>
      <c r="C11" s="30">
        <f>Calculator!B12*Calculator!B23*B11*Inputs!B28/1000</f>
        <v>49.532020131600063</v>
      </c>
      <c r="D11" s="30">
        <f>Calculator!B13*Calculator!B24*B11*Inputs!B28/1000</f>
        <v>0</v>
      </c>
      <c r="E11" s="30">
        <f>(Calculator!B12*Calculator!B25*B11^3+Calculator!B13*Calculator!B26*B11^3)*Inputs!B28/1000</f>
        <v>1.7360576566558039E-2</v>
      </c>
      <c r="F11" s="31">
        <f>C11+D11+E11+IF(Inputs!B10&lt;=0,0,Calculator!B14*Inputs!B27*(Inputs!B10/B11)^2*EXP(Inputs!B10/B11)/(1+EXP(Inputs!B10/B11))^2*Inputs!B28/1000)</f>
        <v>49.549380708166623</v>
      </c>
    </row>
    <row r="12" spans="1:8">
      <c r="A12" s="28">
        <v>100</v>
      </c>
      <c r="B12" s="29">
        <f t="shared" si="0"/>
        <v>0.1</v>
      </c>
      <c r="C12" s="30">
        <f>Calculator!B12*Calculator!B23*B12*Inputs!B28/1000</f>
        <v>55.035577924000066</v>
      </c>
      <c r="D12" s="30">
        <f>Calculator!B13*Calculator!B24*B12*Inputs!B28/1000</f>
        <v>0</v>
      </c>
      <c r="E12" s="30">
        <f>(Calculator!B12*Calculator!B25*B12^3+Calculator!B13*Calculator!B26*B12^3)*Inputs!B28/1000</f>
        <v>2.3814233973330649E-2</v>
      </c>
      <c r="F12" s="31">
        <f>C12+D12+E12+IF(Inputs!B10&lt;=0,0,Calculator!B14*Inputs!B27*(Inputs!B10/B12)^2*EXP(Inputs!B10/B12)/(1+EXP(Inputs!B10/B12))^2*Inputs!B28/1000)</f>
        <v>55.059392157973399</v>
      </c>
    </row>
    <row r="13" spans="1:8">
      <c r="A13" s="28">
        <v>110</v>
      </c>
      <c r="B13" s="29">
        <f t="shared" si="0"/>
        <v>0.11</v>
      </c>
      <c r="C13" s="30">
        <f>Calculator!B12*Calculator!B23*B13*Inputs!B28/1000</f>
        <v>60.539135716400068</v>
      </c>
      <c r="D13" s="30">
        <f>Calculator!B13*Calculator!B24*B13*Inputs!B28/1000</f>
        <v>0</v>
      </c>
      <c r="E13" s="30">
        <f>(Calculator!B12*Calculator!B25*B13^3+Calculator!B13*Calculator!B26*B13^3)*Inputs!B28/1000</f>
        <v>3.1696745418503078E-2</v>
      </c>
      <c r="F13" s="31">
        <f>C13+D13+E13+IF(Inputs!B10&lt;=0,0,Calculator!B14*Inputs!B27*(Inputs!B10/B13)^2*EXP(Inputs!B10/B13)/(1+EXP(Inputs!B10/B13))^2*Inputs!B28/1000)</f>
        <v>60.570832461818569</v>
      </c>
    </row>
    <row r="14" spans="1:8">
      <c r="A14" s="28">
        <v>120</v>
      </c>
      <c r="B14" s="29">
        <f t="shared" si="0"/>
        <v>0.12</v>
      </c>
      <c r="C14" s="30">
        <f>Calculator!B12*Calculator!B23*B14*Inputs!B28/1000</f>
        <v>66.04269350880007</v>
      </c>
      <c r="D14" s="30">
        <f>Calculator!B13*Calculator!B24*B14*Inputs!B28/1000</f>
        <v>0</v>
      </c>
      <c r="E14" s="30">
        <f>(Calculator!B12*Calculator!B25*B14^3+Calculator!B13*Calculator!B26*B14^3)*Inputs!B28/1000</f>
        <v>4.1150996305915351E-2</v>
      </c>
      <c r="F14" s="31">
        <f>C14+D14+E14+IF(Inputs!B10&lt;=0,0,Calculator!B14*Inputs!B27*(Inputs!B10/B14)^2*EXP(Inputs!B10/B14)/(1+EXP(Inputs!B10/B14))^2*Inputs!B28/1000)</f>
        <v>66.083844505105986</v>
      </c>
    </row>
    <row r="15" spans="1:8">
      <c r="A15" s="28">
        <v>130</v>
      </c>
      <c r="B15" s="29">
        <f t="shared" si="0"/>
        <v>0.13</v>
      </c>
      <c r="C15" s="30">
        <f>Calculator!B12*Calculator!B23*B15*Inputs!B28/1000</f>
        <v>71.546251301200087</v>
      </c>
      <c r="D15" s="30">
        <f>Calculator!B13*Calculator!B24*B15*Inputs!B28/1000</f>
        <v>0</v>
      </c>
      <c r="E15" s="30">
        <f>(Calculator!B12*Calculator!B25*B15^3+Calculator!B13*Calculator!B26*B15^3)*Inputs!B28/1000</f>
        <v>5.2319872039407418E-2</v>
      </c>
      <c r="F15" s="31">
        <f>C15+D15+E15+IF(Inputs!B10&lt;=0,0,Calculator!B14*Inputs!B27*(Inputs!B10/B15)^2*EXP(Inputs!B10/B15)/(1+EXP(Inputs!B10/B15))^2*Inputs!B28/1000)</f>
        <v>71.598571173239492</v>
      </c>
    </row>
    <row r="16" spans="1:8">
      <c r="A16" s="28">
        <v>140</v>
      </c>
      <c r="B16" s="29">
        <f t="shared" si="0"/>
        <v>0.14000000000000001</v>
      </c>
      <c r="C16" s="30">
        <f>Calculator!B12*Calculator!B23*B16*Inputs!B28/1000</f>
        <v>77.049809093600089</v>
      </c>
      <c r="D16" s="30">
        <f>Calculator!B13*Calculator!B24*B16*Inputs!B28/1000</f>
        <v>0</v>
      </c>
      <c r="E16" s="30">
        <f>(Calculator!B12*Calculator!B25*B16^3+Calculator!B13*Calculator!B26*B16^3)*Inputs!B28/1000</f>
        <v>6.5346258022819292E-2</v>
      </c>
      <c r="F16" s="31">
        <f>C16+D16+E16+IF(Inputs!B10&lt;=0,0,Calculator!B14*Inputs!B27*(Inputs!B10/B16)^2*EXP(Inputs!B10/B16)/(1+EXP(Inputs!B10/B16))^2*Inputs!B28/1000)</f>
        <v>77.115155351622903</v>
      </c>
    </row>
    <row r="17" spans="1:6">
      <c r="A17" s="28">
        <v>150</v>
      </c>
      <c r="B17" s="29">
        <f t="shared" si="0"/>
        <v>0.15</v>
      </c>
      <c r="C17" s="30">
        <f>Calculator!B12*Calculator!B23*B17*Inputs!B28/1000</f>
        <v>82.553366886000092</v>
      </c>
      <c r="D17" s="30">
        <f>Calculator!B13*Calculator!B24*B17*Inputs!B28/1000</f>
        <v>0</v>
      </c>
      <c r="E17" s="30">
        <f>(Calculator!B12*Calculator!B25*B17^3+Calculator!B13*Calculator!B26*B17^3)*Inputs!B28/1000</f>
        <v>8.0373039659990902E-2</v>
      </c>
      <c r="F17" s="31">
        <f>C17+D17+E17+IF(Inputs!B10&lt;=0,0,Calculator!B14*Inputs!B27*(Inputs!B10/B17)^2*EXP(Inputs!B10/B17)/(1+EXP(Inputs!B10/B17))^2*Inputs!B28/1000)</f>
        <v>82.63373992566008</v>
      </c>
    </row>
    <row r="18" spans="1:6">
      <c r="A18" s="28">
        <v>160</v>
      </c>
      <c r="B18" s="29">
        <f t="shared" si="0"/>
        <v>0.16</v>
      </c>
      <c r="C18" s="30">
        <f>Calculator!B12*Calculator!B23*B18*Inputs!B28/1000</f>
        <v>88.056924678400094</v>
      </c>
      <c r="D18" s="30">
        <f>Calculator!B13*Calculator!B24*B18*Inputs!B28/1000</f>
        <v>0</v>
      </c>
      <c r="E18" s="30">
        <f>(Calculator!B12*Calculator!B25*B18^3+Calculator!B13*Calculator!B26*B18^3)*Inputs!B28/1000</f>
        <v>9.7543102354762323E-2</v>
      </c>
      <c r="F18" s="31">
        <f>C18+D18+E18+IF(Inputs!B10&lt;=0,0,Calculator!B14*Inputs!B27*(Inputs!B10/B18)^2*EXP(Inputs!B10/B18)/(1+EXP(Inputs!B10/B18))^2*Inputs!B28/1000)</f>
        <v>88.154467780754857</v>
      </c>
    </row>
    <row r="19" spans="1:6">
      <c r="A19" s="28">
        <v>170</v>
      </c>
      <c r="B19" s="29">
        <f t="shared" si="0"/>
        <v>0.17</v>
      </c>
      <c r="C19" s="30">
        <f>Calculator!B12*Calculator!B23*B19*Inputs!B28/1000</f>
        <v>93.560482470800125</v>
      </c>
      <c r="D19" s="30">
        <f>Calculator!B13*Calculator!B24*B19*Inputs!B28/1000</f>
        <v>0</v>
      </c>
      <c r="E19" s="30">
        <f>(Calculator!B12*Calculator!B25*B19^3+Calculator!B13*Calculator!B26*B19^3)*Inputs!B28/1000</f>
        <v>0.1169993315109735</v>
      </c>
      <c r="F19" s="31">
        <f>C19+D19+E19+IF(Inputs!B10&lt;=0,0,Calculator!B14*Inputs!B27*(Inputs!B10/B19)^2*EXP(Inputs!B10/B19)/(1+EXP(Inputs!B10/B19))^2*Inputs!B28/1000)</f>
        <v>93.677481802311092</v>
      </c>
    </row>
    <row r="20" spans="1:6">
      <c r="A20" s="28">
        <v>180</v>
      </c>
      <c r="B20" s="29">
        <f t="shared" si="0"/>
        <v>0.18</v>
      </c>
      <c r="C20" s="30">
        <f>Calculator!B12*Calculator!B23*B20*Inputs!B28/1000</f>
        <v>99.064040263200127</v>
      </c>
      <c r="D20" s="30">
        <f>Calculator!B13*Calculator!B24*B20*Inputs!B28/1000</f>
        <v>0</v>
      </c>
      <c r="E20" s="30">
        <f>(Calculator!B12*Calculator!B25*B20^3+Calculator!B13*Calculator!B26*B20^3)*Inputs!B28/1000</f>
        <v>0.13888461253246431</v>
      </c>
      <c r="F20" s="31">
        <f>C20+D20+E20+IF(Inputs!B10&lt;=0,0,Calculator!B14*Inputs!B27*(Inputs!B10/B20)^2*EXP(Inputs!B10/B20)/(1+EXP(Inputs!B10/B20))^2*Inputs!B28/1000)</f>
        <v>99.202924875732592</v>
      </c>
    </row>
    <row r="21" spans="1:6">
      <c r="A21" s="28">
        <v>190</v>
      </c>
      <c r="B21" s="29">
        <f t="shared" si="0"/>
        <v>0.19</v>
      </c>
      <c r="C21" s="30">
        <f>Calculator!B12*Calculator!B23*B21*Inputs!B28/1000</f>
        <v>104.56759805560012</v>
      </c>
      <c r="D21" s="30">
        <f>Calculator!B13*Calculator!B24*B21*Inputs!B28/1000</f>
        <v>0</v>
      </c>
      <c r="E21" s="30">
        <f>(Calculator!B12*Calculator!B25*B21^3+Calculator!B13*Calculator!B26*B21^3)*Inputs!B28/1000</f>
        <v>0.16334183082307488</v>
      </c>
      <c r="F21" s="31">
        <f>C21+D21+E21+IF(Inputs!B10&lt;=0,0,Calculator!B14*Inputs!B27*(Inputs!B10/B21)^2*EXP(Inputs!B10/B21)/(1+EXP(Inputs!B10/B21))^2*Inputs!B28/1000)</f>
        <v>104.73093988642319</v>
      </c>
    </row>
    <row r="22" spans="1:6">
      <c r="A22" s="32">
        <v>200</v>
      </c>
      <c r="B22" s="33">
        <f t="shared" si="0"/>
        <v>0.2</v>
      </c>
      <c r="C22" s="34">
        <f>Calculator!B12*Calculator!B23*B22*Inputs!B28/1000</f>
        <v>110.07115584800013</v>
      </c>
      <c r="D22" s="34">
        <f>Calculator!B13*Calculator!B24*B22*Inputs!B28/1000</f>
        <v>0</v>
      </c>
      <c r="E22" s="34">
        <f>(Calculator!B12*Calculator!B25*B22^3+Calculator!B13*Calculator!B26*B22^3)*Inputs!B28/1000</f>
        <v>0.19051387178664519</v>
      </c>
      <c r="F22" s="35">
        <f>C22+D22+E22+IF(Inputs!B10&lt;=0,0,Calculator!B14*Inputs!B27*(Inputs!B10/B22)^2*EXP(Inputs!B10/B22)/(1+EXP(Inputs!B10/B22))^2*Inputs!B28/1000)</f>
        <v>110.26166971978678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D1"/>
    </sheetView>
  </sheetViews>
  <sheetFormatPr defaultRowHeight="13.8"/>
  <cols>
    <col min="1" max="2" width="28" customWidth="1"/>
    <col min="3" max="3" width="70" customWidth="1"/>
    <col min="4" max="4" width="58" customWidth="1"/>
  </cols>
  <sheetData>
    <row r="1" spans="1:4" ht="14.4">
      <c r="A1" s="48" t="s">
        <v>128</v>
      </c>
      <c r="B1" s="49"/>
      <c r="C1" s="49"/>
      <c r="D1" s="49"/>
    </row>
    <row r="3" spans="1:4">
      <c r="A3" s="25" t="s">
        <v>129</v>
      </c>
      <c r="B3" s="26" t="s">
        <v>130</v>
      </c>
      <c r="C3" s="26" t="s">
        <v>131</v>
      </c>
      <c r="D3" s="27" t="s">
        <v>56</v>
      </c>
    </row>
    <row r="4" spans="1:4">
      <c r="A4" s="36" t="s">
        <v>132</v>
      </c>
      <c r="B4" s="37" t="s">
        <v>133</v>
      </c>
      <c r="C4" s="37" t="s">
        <v>134</v>
      </c>
      <c r="D4" s="38" t="s">
        <v>135</v>
      </c>
    </row>
    <row r="5" spans="1:4">
      <c r="A5" s="36" t="s">
        <v>136</v>
      </c>
      <c r="B5" s="37" t="s">
        <v>137</v>
      </c>
      <c r="C5" s="37" t="s">
        <v>138</v>
      </c>
      <c r="D5" s="38" t="s">
        <v>139</v>
      </c>
    </row>
    <row r="6" spans="1:4">
      <c r="A6" s="36" t="s">
        <v>22</v>
      </c>
      <c r="B6" s="37" t="s">
        <v>140</v>
      </c>
      <c r="C6" s="37" t="s">
        <v>141</v>
      </c>
      <c r="D6" s="38" t="s">
        <v>142</v>
      </c>
    </row>
    <row r="7" spans="1:4">
      <c r="A7" s="36" t="s">
        <v>143</v>
      </c>
      <c r="B7" s="37" t="s">
        <v>144</v>
      </c>
      <c r="C7" s="37" t="s">
        <v>141</v>
      </c>
      <c r="D7" s="38" t="s">
        <v>145</v>
      </c>
    </row>
    <row r="8" spans="1:4">
      <c r="A8" s="36" t="s">
        <v>36</v>
      </c>
      <c r="B8" s="37" t="s">
        <v>146</v>
      </c>
      <c r="C8" s="37" t="s">
        <v>147</v>
      </c>
      <c r="D8" s="38" t="s">
        <v>142</v>
      </c>
    </row>
    <row r="9" spans="1:4">
      <c r="A9" s="36" t="s">
        <v>34</v>
      </c>
      <c r="B9" s="37" t="s">
        <v>148</v>
      </c>
      <c r="C9" s="37" t="s">
        <v>147</v>
      </c>
      <c r="D9" s="38" t="s">
        <v>142</v>
      </c>
    </row>
    <row r="10" spans="1:4">
      <c r="A10" s="36" t="s">
        <v>41</v>
      </c>
      <c r="B10" s="37" t="s">
        <v>149</v>
      </c>
      <c r="C10" s="37" t="s">
        <v>150</v>
      </c>
      <c r="D10" s="38" t="s">
        <v>151</v>
      </c>
    </row>
    <row r="11" spans="1:4">
      <c r="A11" s="36" t="s">
        <v>44</v>
      </c>
      <c r="B11" s="37" t="s">
        <v>152</v>
      </c>
      <c r="C11" s="37" t="s">
        <v>153</v>
      </c>
      <c r="D11" s="38" t="s">
        <v>151</v>
      </c>
    </row>
    <row r="12" spans="1:4">
      <c r="A12" s="36" t="s">
        <v>46</v>
      </c>
      <c r="B12" s="37" t="s">
        <v>154</v>
      </c>
      <c r="C12" s="37" t="s">
        <v>155</v>
      </c>
      <c r="D12" s="38" t="s">
        <v>156</v>
      </c>
    </row>
    <row r="13" spans="1:4">
      <c r="A13" s="36" t="s">
        <v>157</v>
      </c>
      <c r="B13" s="37" t="s">
        <v>158</v>
      </c>
      <c r="C13" s="37" t="s">
        <v>159</v>
      </c>
      <c r="D13" s="38" t="s">
        <v>160</v>
      </c>
    </row>
    <row r="14" spans="1:4">
      <c r="A14" s="36" t="s">
        <v>161</v>
      </c>
      <c r="B14" s="37" t="s">
        <v>162</v>
      </c>
      <c r="C14" s="37" t="s">
        <v>163</v>
      </c>
      <c r="D14" s="38" t="s">
        <v>164</v>
      </c>
    </row>
    <row r="15" spans="1:4">
      <c r="A15" s="39" t="s">
        <v>165</v>
      </c>
      <c r="B15" s="40" t="s">
        <v>166</v>
      </c>
      <c r="C15" s="40" t="s">
        <v>167</v>
      </c>
      <c r="D15" s="41" t="s">
        <v>168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Calculator</vt:lpstr>
      <vt:lpstr>Temp Sweep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Lindeman, Mark A (US 365H)</cp:lastModifiedBy>
  <dcterms:modified xsi:type="dcterms:W3CDTF">2026-05-20T23:20:25Z</dcterms:modified>
</cp:coreProperties>
</file>